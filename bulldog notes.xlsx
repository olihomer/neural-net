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rhomer/Xcode/neural net v1/"/>
    </mc:Choice>
  </mc:AlternateContent>
  <xr:revisionPtr revIDLastSave="0" documentId="13_ncr:1_{068EF220-4F19-054D-A890-C8C2A048056A}" xr6:coauthVersionLast="47" xr6:coauthVersionMax="47" xr10:uidLastSave="{00000000-0000-0000-0000-000000000000}"/>
  <bookViews>
    <workbookView xWindow="0" yWindow="740" windowWidth="34560" windowHeight="21600" xr2:uid="{71D81EA0-7489-F14D-A29A-1F87AD917B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F31" i="1"/>
  <c r="N25" i="1"/>
  <c r="O46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31" i="1"/>
  <c r="N33" i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32" i="1"/>
  <c r="M46" i="1"/>
  <c r="H27" i="1"/>
  <c r="H23" i="1"/>
  <c r="H19" i="1"/>
  <c r="H15" i="1"/>
  <c r="H11" i="1"/>
  <c r="H7" i="1"/>
  <c r="F11" i="1"/>
  <c r="F15" i="1" s="1"/>
  <c r="F19" i="1" s="1"/>
  <c r="G27" i="1"/>
  <c r="G7" i="1"/>
  <c r="I11" i="1"/>
  <c r="I15" i="1" s="1"/>
  <c r="I19" i="1" s="1"/>
  <c r="G15" i="1" l="1"/>
  <c r="G11" i="1"/>
  <c r="G19" i="1" l="1"/>
  <c r="F25" i="1"/>
  <c r="F21" i="1"/>
  <c r="G23" i="1"/>
</calcChain>
</file>

<file path=xl/sharedStrings.xml><?xml version="1.0" encoding="utf-8"?>
<sst xmlns="http://schemas.openxmlformats.org/spreadsheetml/2006/main" count="17" uniqueCount="17">
  <si>
    <t>$m</t>
  </si>
  <si>
    <t>EBITDA</t>
  </si>
  <si>
    <t>Implied Margin</t>
  </si>
  <si>
    <t>Reported EBITDA TTM June 2024</t>
  </si>
  <si>
    <t>Transfer staff / central costs from parent</t>
  </si>
  <si>
    <t>CIM adjustments: non-recurring / non-cash items</t>
  </si>
  <si>
    <t>CIM adjustments: RIFs, unvalidated producers, other</t>
  </si>
  <si>
    <t>Forecast organic growth H2 2024</t>
  </si>
  <si>
    <t>PF EBITDA TTM June 2024</t>
  </si>
  <si>
    <t>PF EBITDA FY 2024</t>
  </si>
  <si>
    <t>Run-rate PF EBITDA FY 2024</t>
  </si>
  <si>
    <t>Revenue</t>
  </si>
  <si>
    <t>Projected M&amp;A 2H24</t>
  </si>
  <si>
    <t>EBITDA TTM June 2024 adjusted for central costs</t>
  </si>
  <si>
    <t>EBITDA TTM June 2024 adjusted for central + non-recurring</t>
  </si>
  <si>
    <t>EV @ 18x</t>
  </si>
  <si>
    <t>Synergies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</si>
</sst>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£&quot;#,##0.00_);[Red]\(&quot;£&quot;#,##0.00\)"/>
    <numFmt numFmtId="43" formatCode="_(* #,##0.00_);_(* \(#,##0.00\);_(* &quot;-&quot;??_);_(@_)"/>
    <numFmt numFmtId="167" formatCode="0.0%"/>
    <numFmt numFmtId="170" formatCode="_(* #,##0_);_(* \(#,##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167" fontId="5" fillId="0" borderId="0" xfId="2" applyNumberFormat="1" applyFont="1"/>
    <xf numFmtId="167" fontId="4" fillId="0" borderId="0" xfId="0" applyNumberFormat="1" applyFont="1"/>
    <xf numFmtId="0" fontId="4" fillId="0" borderId="0" xfId="0" applyNumberFormat="1" applyFont="1"/>
    <xf numFmtId="170" fontId="5" fillId="0" borderId="0" xfId="1" applyNumberFormat="1" applyFont="1"/>
    <xf numFmtId="8" fontId="0" fillId="0" borderId="0" xfId="0" applyNumberFormat="1"/>
    <xf numFmtId="43" fontId="0" fillId="0" borderId="0" xfId="0" applyNumberForma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E031-E8CF-2F45-8C54-6A44CDE71024}">
  <dimension ref="E5:O46"/>
  <sheetViews>
    <sheetView showGridLines="0" tabSelected="1" workbookViewId="0">
      <selection activeCell="G40" sqref="G40"/>
    </sheetView>
  </sheetViews>
  <sheetFormatPr baseColWidth="10" defaultRowHeight="16" x14ac:dyDescent="0.2"/>
  <cols>
    <col min="5" max="5" width="50.6640625" customWidth="1"/>
    <col min="6" max="6" width="12.6640625" customWidth="1"/>
    <col min="7" max="7" width="15.1640625" customWidth="1"/>
    <col min="8" max="8" width="13.83203125" customWidth="1"/>
  </cols>
  <sheetData>
    <row r="5" spans="5:9" x14ac:dyDescent="0.2">
      <c r="E5" s="3" t="s">
        <v>0</v>
      </c>
      <c r="F5" s="4" t="s">
        <v>1</v>
      </c>
      <c r="G5" s="4" t="s">
        <v>2</v>
      </c>
      <c r="H5" s="4" t="s">
        <v>15</v>
      </c>
      <c r="I5" s="1" t="s">
        <v>11</v>
      </c>
    </row>
    <row r="6" spans="5:9" ht="11" customHeight="1" x14ac:dyDescent="0.2">
      <c r="E6" s="5"/>
      <c r="F6" s="6"/>
      <c r="G6" s="5"/>
      <c r="H6" s="5"/>
    </row>
    <row r="7" spans="5:9" x14ac:dyDescent="0.2">
      <c r="E7" s="7" t="s">
        <v>3</v>
      </c>
      <c r="F7" s="7">
        <v>402</v>
      </c>
      <c r="G7" s="8">
        <f>F7/I7</f>
        <v>0.29130434782608694</v>
      </c>
      <c r="H7" s="11">
        <f>F7*18</f>
        <v>7236</v>
      </c>
      <c r="I7">
        <v>1380</v>
      </c>
    </row>
    <row r="8" spans="5:9" ht="11" customHeight="1" x14ac:dyDescent="0.2">
      <c r="E8" s="5"/>
      <c r="F8" s="5"/>
      <c r="G8" s="9"/>
      <c r="H8" s="10"/>
    </row>
    <row r="9" spans="5:9" x14ac:dyDescent="0.2">
      <c r="E9" s="5" t="s">
        <v>4</v>
      </c>
      <c r="F9" s="5">
        <v>-37</v>
      </c>
      <c r="G9" s="9"/>
      <c r="H9" s="10"/>
    </row>
    <row r="10" spans="5:9" ht="11" customHeight="1" x14ac:dyDescent="0.2">
      <c r="E10" s="5"/>
      <c r="F10" s="5"/>
      <c r="G10" s="9"/>
      <c r="H10" s="10"/>
    </row>
    <row r="11" spans="5:9" x14ac:dyDescent="0.2">
      <c r="E11" s="7" t="s">
        <v>13</v>
      </c>
      <c r="F11" s="7">
        <f>SUM(F7:F9)</f>
        <v>365</v>
      </c>
      <c r="G11" s="8">
        <f>F11/I11</f>
        <v>0.26449275362318841</v>
      </c>
      <c r="H11" s="11">
        <f>F11*18</f>
        <v>6570</v>
      </c>
      <c r="I11">
        <f>I7</f>
        <v>1380</v>
      </c>
    </row>
    <row r="12" spans="5:9" ht="11" customHeight="1" x14ac:dyDescent="0.2">
      <c r="E12" s="5"/>
      <c r="F12" s="5"/>
      <c r="G12" s="9"/>
      <c r="H12" s="10"/>
    </row>
    <row r="13" spans="5:9" x14ac:dyDescent="0.2">
      <c r="E13" s="5" t="s">
        <v>5</v>
      </c>
      <c r="F13" s="5">
        <v>71</v>
      </c>
      <c r="G13" s="9"/>
      <c r="H13" s="10"/>
    </row>
    <row r="14" spans="5:9" ht="11" customHeight="1" x14ac:dyDescent="0.2">
      <c r="E14" s="5"/>
      <c r="F14" s="5"/>
      <c r="G14" s="9"/>
      <c r="H14" s="10"/>
    </row>
    <row r="15" spans="5:9" x14ac:dyDescent="0.2">
      <c r="E15" s="7" t="s">
        <v>14</v>
      </c>
      <c r="F15" s="7">
        <f>SUM(F11:F13)</f>
        <v>436</v>
      </c>
      <c r="G15" s="8">
        <f>F15/I15</f>
        <v>0.31594202898550727</v>
      </c>
      <c r="H15" s="11">
        <f>F15*18</f>
        <v>7848</v>
      </c>
      <c r="I15">
        <f>I11</f>
        <v>1380</v>
      </c>
    </row>
    <row r="16" spans="5:9" ht="11" customHeight="1" x14ac:dyDescent="0.2">
      <c r="E16" s="5"/>
      <c r="F16" s="5"/>
      <c r="G16" s="9"/>
      <c r="H16" s="10"/>
    </row>
    <row r="17" spans="5:15" x14ac:dyDescent="0.2">
      <c r="E17" s="5" t="s">
        <v>6</v>
      </c>
      <c r="F17" s="5">
        <v>48</v>
      </c>
      <c r="G17" s="9"/>
      <c r="H17" s="10"/>
    </row>
    <row r="18" spans="5:15" ht="11" customHeight="1" x14ac:dyDescent="0.2">
      <c r="E18" s="5"/>
      <c r="F18" s="5"/>
      <c r="G18" s="9"/>
      <c r="H18" s="10"/>
    </row>
    <row r="19" spans="5:15" x14ac:dyDescent="0.2">
      <c r="E19" s="7" t="s">
        <v>8</v>
      </c>
      <c r="F19" s="7">
        <f>SUM(F15:F17)</f>
        <v>484</v>
      </c>
      <c r="G19" s="8">
        <f>F19/I19</f>
        <v>0.35072463768115941</v>
      </c>
      <c r="H19" s="11">
        <f>F19*18</f>
        <v>8712</v>
      </c>
      <c r="I19">
        <f>I15</f>
        <v>1380</v>
      </c>
    </row>
    <row r="20" spans="5:15" ht="11" customHeight="1" x14ac:dyDescent="0.2">
      <c r="E20" s="5"/>
      <c r="F20" s="5"/>
      <c r="G20" s="9"/>
      <c r="H20" s="10"/>
    </row>
    <row r="21" spans="5:15" x14ac:dyDescent="0.2">
      <c r="E21" s="5" t="s">
        <v>7</v>
      </c>
      <c r="F21" s="5">
        <f>F23-F19</f>
        <v>20</v>
      </c>
      <c r="G21" s="9"/>
      <c r="H21" s="10"/>
    </row>
    <row r="22" spans="5:15" ht="11" customHeight="1" x14ac:dyDescent="0.2">
      <c r="E22" s="5"/>
      <c r="F22" s="5"/>
      <c r="G22" s="9"/>
      <c r="H22" s="10"/>
    </row>
    <row r="23" spans="5:15" x14ac:dyDescent="0.2">
      <c r="E23" s="7" t="s">
        <v>9</v>
      </c>
      <c r="F23" s="7">
        <v>504</v>
      </c>
      <c r="G23" s="8">
        <f>F23/I23</f>
        <v>0.35517970401691334</v>
      </c>
      <c r="H23" s="11">
        <f>F23*18</f>
        <v>9072</v>
      </c>
      <c r="I23">
        <v>1419</v>
      </c>
    </row>
    <row r="24" spans="5:15" ht="11" customHeight="1" x14ac:dyDescent="0.2">
      <c r="E24" s="5"/>
      <c r="F24" s="5"/>
      <c r="G24" s="9"/>
      <c r="H24" s="10"/>
    </row>
    <row r="25" spans="5:15" x14ac:dyDescent="0.2">
      <c r="E25" s="5" t="s">
        <v>12</v>
      </c>
      <c r="F25" s="5">
        <f>F27-F23</f>
        <v>5</v>
      </c>
      <c r="G25" s="9"/>
      <c r="H25" s="10"/>
      <c r="N25" s="12">
        <f>NPV(8%,M31:M45)</f>
        <v>539.25484558252947</v>
      </c>
    </row>
    <row r="26" spans="5:15" ht="11" customHeight="1" x14ac:dyDescent="0.2">
      <c r="E26" s="5"/>
      <c r="F26" s="5"/>
      <c r="G26" s="9"/>
      <c r="H26" s="10"/>
    </row>
    <row r="27" spans="5:15" x14ac:dyDescent="0.2">
      <c r="E27" s="7" t="s">
        <v>10</v>
      </c>
      <c r="F27" s="7">
        <v>509</v>
      </c>
      <c r="G27" s="8">
        <f>F27/I27</f>
        <v>0.35495118549511856</v>
      </c>
      <c r="H27" s="11">
        <f>F27*18</f>
        <v>9162</v>
      </c>
      <c r="I27">
        <v>1434</v>
      </c>
    </row>
    <row r="29" spans="5:15" x14ac:dyDescent="0.2">
      <c r="E29" t="s">
        <v>16</v>
      </c>
      <c r="F29">
        <v>100</v>
      </c>
    </row>
    <row r="30" spans="5:15" x14ac:dyDescent="0.2">
      <c r="I30" s="13">
        <f>H27/F31</f>
        <v>15.044334975369457</v>
      </c>
    </row>
    <row r="31" spans="5:15" x14ac:dyDescent="0.2">
      <c r="F31" s="2">
        <f>F27+F29</f>
        <v>609</v>
      </c>
      <c r="M31">
        <v>68</v>
      </c>
      <c r="N31">
        <v>1.08</v>
      </c>
      <c r="O31">
        <f>M31/N31</f>
        <v>62.962962962962962</v>
      </c>
    </row>
    <row r="32" spans="5:15" x14ac:dyDescent="0.2">
      <c r="M32">
        <v>68</v>
      </c>
      <c r="N32">
        <f>N31*1.08</f>
        <v>1.1664000000000001</v>
      </c>
      <c r="O32">
        <f t="shared" ref="O32:O45" si="0">M32/N32</f>
        <v>58.299039780521255</v>
      </c>
    </row>
    <row r="33" spans="13:15" x14ac:dyDescent="0.2">
      <c r="M33">
        <v>67</v>
      </c>
      <c r="N33">
        <f t="shared" ref="N33:N45" si="1">N32*1.08</f>
        <v>1.2597120000000002</v>
      </c>
      <c r="O33">
        <f t="shared" si="0"/>
        <v>53.186760148351361</v>
      </c>
    </row>
    <row r="34" spans="13:15" x14ac:dyDescent="0.2">
      <c r="M34">
        <v>67</v>
      </c>
      <c r="N34">
        <f t="shared" si="1"/>
        <v>1.3604889600000003</v>
      </c>
      <c r="O34">
        <f t="shared" si="0"/>
        <v>49.24700013736237</v>
      </c>
    </row>
    <row r="35" spans="13:15" x14ac:dyDescent="0.2">
      <c r="M35">
        <v>66</v>
      </c>
      <c r="N35">
        <f t="shared" si="1"/>
        <v>1.4693280768000003</v>
      </c>
      <c r="O35">
        <f t="shared" si="0"/>
        <v>44.918491004227697</v>
      </c>
    </row>
    <row r="36" spans="13:15" x14ac:dyDescent="0.2">
      <c r="M36">
        <v>66</v>
      </c>
      <c r="N36">
        <f t="shared" si="1"/>
        <v>1.5868743229440005</v>
      </c>
      <c r="O36">
        <f t="shared" si="0"/>
        <v>41.591195374284901</v>
      </c>
    </row>
    <row r="37" spans="13:15" x14ac:dyDescent="0.2">
      <c r="M37">
        <v>66</v>
      </c>
      <c r="N37">
        <f t="shared" si="1"/>
        <v>1.7138242687795207</v>
      </c>
      <c r="O37">
        <f t="shared" si="0"/>
        <v>38.510366087300831</v>
      </c>
    </row>
    <row r="38" spans="13:15" x14ac:dyDescent="0.2">
      <c r="M38">
        <v>66</v>
      </c>
      <c r="N38">
        <f t="shared" si="1"/>
        <v>1.8509302102818825</v>
      </c>
      <c r="O38">
        <f t="shared" si="0"/>
        <v>35.657746377130394</v>
      </c>
    </row>
    <row r="39" spans="13:15" x14ac:dyDescent="0.2">
      <c r="M39">
        <v>63</v>
      </c>
      <c r="N39">
        <f t="shared" si="1"/>
        <v>1.9990046271044333</v>
      </c>
      <c r="O39">
        <f t="shared" si="0"/>
        <v>31.515684929281914</v>
      </c>
    </row>
    <row r="40" spans="13:15" x14ac:dyDescent="0.2">
      <c r="M40">
        <v>60</v>
      </c>
      <c r="N40">
        <f t="shared" si="1"/>
        <v>2.1589249972727882</v>
      </c>
      <c r="O40">
        <f t="shared" si="0"/>
        <v>27.791609285081048</v>
      </c>
    </row>
    <row r="41" spans="13:15" x14ac:dyDescent="0.2">
      <c r="M41">
        <v>60</v>
      </c>
      <c r="N41">
        <f t="shared" si="1"/>
        <v>2.3316389970546112</v>
      </c>
      <c r="O41">
        <f t="shared" si="0"/>
        <v>25.732971560260232</v>
      </c>
    </row>
    <row r="42" spans="13:15" x14ac:dyDescent="0.2">
      <c r="M42">
        <v>60</v>
      </c>
      <c r="N42">
        <f t="shared" si="1"/>
        <v>2.5181701168189803</v>
      </c>
      <c r="O42">
        <f t="shared" si="0"/>
        <v>23.82682551875947</v>
      </c>
    </row>
    <row r="43" spans="13:15" x14ac:dyDescent="0.2">
      <c r="M43">
        <v>57</v>
      </c>
      <c r="N43">
        <f t="shared" si="1"/>
        <v>2.7196237261644991</v>
      </c>
      <c r="O43">
        <f t="shared" si="0"/>
        <v>20.958781706316199</v>
      </c>
    </row>
    <row r="44" spans="13:15" x14ac:dyDescent="0.2">
      <c r="M44">
        <v>56</v>
      </c>
      <c r="N44">
        <f t="shared" si="1"/>
        <v>2.9371936242576591</v>
      </c>
      <c r="O44">
        <f t="shared" si="0"/>
        <v>19.065818316337023</v>
      </c>
    </row>
    <row r="45" spans="13:15" x14ac:dyDescent="0.2">
      <c r="M45">
        <v>19</v>
      </c>
      <c r="N45">
        <f t="shared" si="1"/>
        <v>3.172169114198272</v>
      </c>
      <c r="O45">
        <f t="shared" si="0"/>
        <v>5.9895923943519085</v>
      </c>
    </row>
    <row r="46" spans="13:15" x14ac:dyDescent="0.2">
      <c r="M46">
        <f>SUM(M31:M45)</f>
        <v>909</v>
      </c>
      <c r="O46">
        <f>SUM(O31:O45)</f>
        <v>539.25484558252958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 Homer</dc:creator>
  <cp:lastModifiedBy>Oli Homer</cp:lastModifiedBy>
  <dcterms:created xsi:type="dcterms:W3CDTF">2024-08-06T20:23:16Z</dcterms:created>
  <dcterms:modified xsi:type="dcterms:W3CDTF">2024-08-08T20:05:19Z</dcterms:modified>
</cp:coreProperties>
</file>